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bom模板" state="visible" r:id="rId4"/>
    <sheet sheetId="2" name="Field汇总" state="visible" r:id="rId5"/>
  </sheets>
  <calcPr calcId="171027" fullCalcOnLoad="1"/>
</workbook>
</file>

<file path=xl/sharedStrings.xml><?xml version="1.0" encoding="utf-8"?>
<sst xmlns="http://schemas.openxmlformats.org/spreadsheetml/2006/main" count="504" uniqueCount="264">
  <si>
    <t/>
  </si>
  <si>
    <t xml:space="preserve">Bill of Materials </t>
  </si>
  <si>
    <t>BOM_Little_Squeaky_Machine_Main_Little Squeaky Machine_2026-09-15</t>
  </si>
  <si>
    <t>Project Title：</t>
  </si>
  <si>
    <t>little_squeaky_machine_V3</t>
  </si>
  <si>
    <t>Variant:</t>
  </si>
  <si>
    <t xml:space="preserve"> </t>
  </si>
  <si>
    <t>Report Time：</t>
  </si>
  <si>
    <t>2026年9月15日 22:30:16</t>
  </si>
  <si>
    <t>No.</t>
  </si>
  <si>
    <t>Quantity</t>
  </si>
  <si>
    <t>Comment</t>
  </si>
  <si>
    <t>Designator</t>
  </si>
  <si>
    <t>Footprint</t>
  </si>
  <si>
    <t>Value</t>
  </si>
  <si>
    <t>Manufacturer Part</t>
  </si>
  <si>
    <t>Manufacturer</t>
  </si>
  <si>
    <t>Supplier Part</t>
  </si>
  <si>
    <t>Supplier</t>
  </si>
  <si>
    <t>LCSC Price</t>
  </si>
  <si>
    <t>Total</t>
  </si>
  <si>
    <t>10uF</t>
  </si>
  <si>
    <t>C7</t>
  </si>
  <si>
    <t>C0603</t>
  </si>
  <si>
    <t>CGA0603X5R106K100JT</t>
  </si>
  <si>
    <t>HRE(芯声)</t>
  </si>
  <si>
    <t>C6119842</t>
  </si>
  <si>
    <t>LCSC</t>
  </si>
  <si>
    <t>100nF</t>
  </si>
  <si>
    <t>C8, C11, C16, C17, C20, C21, C29, C38, C39, C41, C45, CLED1, CLED2, CLED3, CLED4, CLED5, CLED6, CLED7, CLED8, CLED9, CLED10, CLED11, CLED12, CLED13, CLED14, CLED15, CLED16, CLED17, CLED18, CLED19, CLED20, CLED21, CLED22, CLED23, CLED24, CLED25, CLED26, CLED27, CLED28, CLED29, CLED30, CLED31, CMIDI</t>
  </si>
  <si>
    <t>C0402</t>
  </si>
  <si>
    <t>CL05B104KO5NNNC</t>
  </si>
  <si>
    <t>SAMSUNG(三星)</t>
  </si>
  <si>
    <t>C1525</t>
  </si>
  <si>
    <t>1uF</t>
  </si>
  <si>
    <t>C9, C35, C36, C37, C40</t>
  </si>
  <si>
    <t>C0201</t>
  </si>
  <si>
    <t>GRM033R61A105ME44D</t>
  </si>
  <si>
    <t>muRata(村田)</t>
  </si>
  <si>
    <t>C76935</t>
  </si>
  <si>
    <t>C12, C14, C44</t>
  </si>
  <si>
    <t>CASE-A_3216</t>
  </si>
  <si>
    <t>CA45-A010M106T</t>
  </si>
  <si>
    <t>湘怡中元/湘江</t>
  </si>
  <si>
    <t>C127946</t>
  </si>
  <si>
    <t>22uF</t>
  </si>
  <si>
    <t>C13, C15</t>
  </si>
  <si>
    <t>CA45-A-10V-22uF-K</t>
  </si>
  <si>
    <t>CEC(振华新云)</t>
  </si>
  <si>
    <t>C129272</t>
  </si>
  <si>
    <t>2.2uF</t>
  </si>
  <si>
    <t>C18, C19, C25, C26, C27, C28, C30</t>
  </si>
  <si>
    <t>CGA0402X5R225M6R3GT</t>
  </si>
  <si>
    <t>C7503516</t>
  </si>
  <si>
    <t>150nF</t>
  </si>
  <si>
    <t>C22</t>
  </si>
  <si>
    <t>TCC0402X7R154K160AT</t>
  </si>
  <si>
    <t>CCTC(三环)</t>
  </si>
  <si>
    <t>C7393865</t>
  </si>
  <si>
    <t>2.2nF</t>
  </si>
  <si>
    <t>C43</t>
  </si>
  <si>
    <t>C0805</t>
  </si>
  <si>
    <t>CL21C222JBFNNNE</t>
  </si>
  <si>
    <t>C28260</t>
  </si>
  <si>
    <t>10nF</t>
  </si>
  <si>
    <t>C46</t>
  </si>
  <si>
    <t>CGA0603X7R103M500JT</t>
  </si>
  <si>
    <t>C36911427</t>
  </si>
  <si>
    <t>SGTL5000XNLA3R2</t>
  </si>
  <si>
    <t>CODEC</t>
  </si>
  <si>
    <t>QFN-20_L3.0-W3.0-P0.40-BL-EP1.7</t>
  </si>
  <si>
    <t>NXP(恩智浦)</t>
  </si>
  <si>
    <t>C2651833</t>
  </si>
  <si>
    <t>SS34</t>
  </si>
  <si>
    <t>D1</t>
  </si>
  <si>
    <t>SMA_L4.3-W2.6-LS5.2-RD</t>
  </si>
  <si>
    <t>MDD(辰达半导体)</t>
  </si>
  <si>
    <t>C8678</t>
  </si>
  <si>
    <t>1N914W</t>
  </si>
  <si>
    <t>D2</t>
  </si>
  <si>
    <t>SOD-123_L2.7-W1.6-LS3.7-RD-1</t>
  </si>
  <si>
    <t>CBI(创基)</t>
  </si>
  <si>
    <t>C2836060</t>
  </si>
  <si>
    <t>X2549WR-2x10A-PTV01</t>
  </si>
  <si>
    <t>EDGE_CONNECTOR</t>
  </si>
  <si>
    <t>CONN-TH_20P-P2.54_X2549WR-2X10A-PTV01</t>
  </si>
  <si>
    <t>XKB Connection(中国星坤)</t>
  </si>
  <si>
    <t>C21261721</t>
  </si>
  <si>
    <t>EC12E24404A8</t>
  </si>
  <si>
    <t>ENCO0, ENCO1, ENCO2, ENCO3</t>
  </si>
  <si>
    <t>SW-TH_EC12EXXXX</t>
  </si>
  <si>
    <t>ALPSALPINE(阿尔卑斯阿尔派)</t>
  </si>
  <si>
    <t>C470600</t>
  </si>
  <si>
    <t>ESP32-S3-WROOM-1-N16R8</t>
  </si>
  <si>
    <t>ESP32S3</t>
  </si>
  <si>
    <t>WIRELM-SMD_ESP32-S3-WROOM-1</t>
  </si>
  <si>
    <t>ESPRESSIF(乐鑫)</t>
  </si>
  <si>
    <t>C2913202</t>
  </si>
  <si>
    <t>SMD1812-300C-16V</t>
  </si>
  <si>
    <t>FUSE</t>
  </si>
  <si>
    <t>F1812</t>
  </si>
  <si>
    <t>BNstar(比诺星)</t>
  </si>
  <si>
    <t>C2760295</t>
  </si>
  <si>
    <t>STK8321</t>
  </si>
  <si>
    <t>GYRO</t>
  </si>
  <si>
    <t>LGA-12_L2.0-W2.0-P0.50-TR</t>
  </si>
  <si>
    <t>SENSORTEK(昇佳)</t>
  </si>
  <si>
    <t>C966924</t>
  </si>
  <si>
    <t>PJ-3062-CO</t>
  </si>
  <si>
    <t>HEADPHONE</t>
  </si>
  <si>
    <t>AUDIO-TH_PJ-3062-HD-B</t>
  </si>
  <si>
    <t>C319113</t>
  </si>
  <si>
    <t>CPG151101S11-16</t>
  </si>
  <si>
    <t>KEY_1, KEY_2, KEY_3, KEY_4, KEY_5, KEY_6, KEY_7, KEY_8, KEY_9, KEY_10, KEY_11, KEY_12, KEY_13, KEY_14, KEY_15, KEY_16, KEY_17, KEY_18, KEY_19, KEY_20, KEY_21, KEY_22, KEY_23, KEY_24, KEY_25</t>
  </si>
  <si>
    <t>SMD_KEYBOARD-SW</t>
  </si>
  <si>
    <t>HanElectricity(瀚源)</t>
  </si>
  <si>
    <t>C41430893</t>
  </si>
  <si>
    <t>1N4148WS</t>
  </si>
  <si>
    <t>KEY_D1, KEY_D2, KEY_D3, KEY_D4, KEY_D5, KEY_D6, KEY_D7, KEY_D8, KEY_D9, KEY_D10, KEY_D11, KEY_D12, KEY_D13, KEY_D14, KEY_D15, KEY_D16, KEY_D17, KEY_D18, KEY_D19, KEY_D20, KEY_D21, KEY_D22, KEY_D23, KEY_D24</t>
  </si>
  <si>
    <t>SOD-323_L1.8-W1.3-LS2.5-RD</t>
  </si>
  <si>
    <t>Hottech(合科泰)</t>
  </si>
  <si>
    <t>C181133</t>
  </si>
  <si>
    <t>HCB2012KV-601T20</t>
  </si>
  <si>
    <t>L1</t>
  </si>
  <si>
    <t>L0805</t>
  </si>
  <si>
    <t>TAI-TECH(台庆)</t>
  </si>
  <si>
    <t>C5139902</t>
  </si>
  <si>
    <t>BLM15PX330SN1D</t>
  </si>
  <si>
    <t>L2</t>
  </si>
  <si>
    <t>L0402</t>
  </si>
  <si>
    <t>C160974</t>
  </si>
  <si>
    <t>AMS1117-3.3</t>
  </si>
  <si>
    <t>LDO</t>
  </si>
  <si>
    <t>SOT-223-4_L6.5-W3.5-P2.30-LS7.0-BR</t>
  </si>
  <si>
    <t>UMW(友台半导体)</t>
  </si>
  <si>
    <t>C347222</t>
  </si>
  <si>
    <t>SK6812MINI-E</t>
  </si>
  <si>
    <t>LED1, LED2, LED3, LED4, LED5, LED6, LED7, LED8, LED9, LED10, LED11, LED12, LED13, LED14, LED15, LED16, LED17, LED18, LED19, LED20, LED21, LED22, LED23, LED24, LED25, LED26, LED27, LED28, LED29, LED30, LED31</t>
  </si>
  <si>
    <t>LED-SMD_4P-L3.2-W2.8-LS5.9_SK6812MINI-E</t>
  </si>
  <si>
    <t>欧思科光电</t>
  </si>
  <si>
    <t>C5149201</t>
  </si>
  <si>
    <t>PJ-3062-HD-R</t>
  </si>
  <si>
    <t>LINE-IN, MIC_EXTERNAL</t>
  </si>
  <si>
    <t>C668225</t>
  </si>
  <si>
    <t>PJ-3062-HD-G</t>
  </si>
  <si>
    <t>LINE-OUT</t>
  </si>
  <si>
    <t>C431042</t>
  </si>
  <si>
    <t>KEAG4544PF-K</t>
  </si>
  <si>
    <t>MIC_INTERNAL</t>
  </si>
  <si>
    <t>MIC-TH_BD9.7-P2.50-D0.8-L-FD</t>
  </si>
  <si>
    <t>KINGSTATE(志丰电子)</t>
  </si>
  <si>
    <t>C7430174</t>
  </si>
  <si>
    <t>XKB5858-Z-F-75</t>
  </si>
  <si>
    <t>MIC_SELECT</t>
  </si>
  <si>
    <t>SW-SMD_XKB5858-Z-F-75</t>
  </si>
  <si>
    <t>C2884736</t>
  </si>
  <si>
    <t>PJ-3062-HD-B</t>
  </si>
  <si>
    <t>MIDI-IN, MIDI-OUT</t>
  </si>
  <si>
    <t>C692443</t>
  </si>
  <si>
    <t>HS96L03W2C03</t>
  </si>
  <si>
    <t>OLED</t>
  </si>
  <si>
    <t>OLED-TH_L27.8-W27.2-P2.54_C9900033791</t>
  </si>
  <si>
    <t>HS(汉昇)</t>
  </si>
  <si>
    <t>C5248080</t>
  </si>
  <si>
    <t>6N137S1(TA)</t>
  </si>
  <si>
    <t>OPTOC</t>
  </si>
  <si>
    <t>SMD-8_L9.8-W6.6-P2.54-LS10.3-BL</t>
  </si>
  <si>
    <t>EVERLIGHT(亿光)</t>
  </si>
  <si>
    <t>C110020</t>
  </si>
  <si>
    <t>F.0603.00025/P2-0603G1TS2-06T-002</t>
  </si>
  <si>
    <t>POWER</t>
  </si>
  <si>
    <t>LED0603-RD_GREEN</t>
  </si>
  <si>
    <t>TUOZHAN(拓展光电)</t>
  </si>
  <si>
    <t>C7496818</t>
  </si>
  <si>
    <t>5.1kΩ</t>
  </si>
  <si>
    <t>R1, R2</t>
  </si>
  <si>
    <t>R0603</t>
  </si>
  <si>
    <t>0603WAF5101T5E</t>
  </si>
  <si>
    <t>UNI-ROYAL(厚声)</t>
  </si>
  <si>
    <t>C23186</t>
  </si>
  <si>
    <t>10kΩ</t>
  </si>
  <si>
    <t>R3</t>
  </si>
  <si>
    <t>R0402</t>
  </si>
  <si>
    <t>SCR0402J10K</t>
  </si>
  <si>
    <t>VO(翔胜)</t>
  </si>
  <si>
    <t>C3017497</t>
  </si>
  <si>
    <t>1kΩ</t>
  </si>
  <si>
    <t>R4</t>
  </si>
  <si>
    <t>FRC0603J102 TS</t>
  </si>
  <si>
    <t>FOJAN(富捷)</t>
  </si>
  <si>
    <t>C2907113</t>
  </si>
  <si>
    <t>2.2kΩ</t>
  </si>
  <si>
    <t>R5, R6, R8</t>
  </si>
  <si>
    <t>0603WAF2201T5E</t>
  </si>
  <si>
    <t>C4190</t>
  </si>
  <si>
    <t>100Ω</t>
  </si>
  <si>
    <t>R7</t>
  </si>
  <si>
    <t>RC0603FR-07100RL</t>
  </si>
  <si>
    <t>YAGEO(国巨)</t>
  </si>
  <si>
    <t>C105588</t>
  </si>
  <si>
    <t>220Ω</t>
  </si>
  <si>
    <t>R9</t>
  </si>
  <si>
    <t>SCR0603J220R</t>
  </si>
  <si>
    <t>C3017752</t>
  </si>
  <si>
    <t>470Ω</t>
  </si>
  <si>
    <t>R10</t>
  </si>
  <si>
    <t>SCR0603F470R</t>
  </si>
  <si>
    <t>C5140094</t>
  </si>
  <si>
    <t>33Ω</t>
  </si>
  <si>
    <t>R12</t>
  </si>
  <si>
    <t>0603WAF330JT5E</t>
  </si>
  <si>
    <t>C23140</t>
  </si>
  <si>
    <t>10Ω</t>
  </si>
  <si>
    <t>R13</t>
  </si>
  <si>
    <t>QR0603J10R0P05Z</t>
  </si>
  <si>
    <t>EVER OHMS(天二科技)</t>
  </si>
  <si>
    <t>C176153</t>
  </si>
  <si>
    <t>22Ω</t>
  </si>
  <si>
    <t>R18</t>
  </si>
  <si>
    <t>0603WAF220JT5E</t>
  </si>
  <si>
    <t>C23345</t>
  </si>
  <si>
    <t>500Ω</t>
  </si>
  <si>
    <t>R19, R20, R21, R22, R23, R24, R25, R26, R27</t>
  </si>
  <si>
    <t>RT0603BRD07500RL</t>
  </si>
  <si>
    <t>C6207671</t>
  </si>
  <si>
    <t>XKB5858-W-F-75</t>
  </si>
  <si>
    <t>RESET</t>
  </si>
  <si>
    <t>SW-SMD_XKB5858-W-F-75</t>
  </si>
  <si>
    <t>C780037</t>
  </si>
  <si>
    <t>CY8CMBR3108-LQXI</t>
  </si>
  <si>
    <t>TOUCH</t>
  </si>
  <si>
    <t>QFN-16_L3.0-W3.0-P0.50-BL-EP1.7</t>
  </si>
  <si>
    <t>Infineon/CYPRESS(赛普拉斯)</t>
  </si>
  <si>
    <t>C511139</t>
  </si>
  <si>
    <t>AMS1117-1.8</t>
  </si>
  <si>
    <t>U1</t>
  </si>
  <si>
    <t>SOT-223_L6.7-W3.5-P2.30-BR</t>
  </si>
  <si>
    <t>C347220</t>
  </si>
  <si>
    <t>GT74LVC2T45V8</t>
  </si>
  <si>
    <t>U2</t>
  </si>
  <si>
    <t>VSSOP-8_L2.3-W2.0-P0.50-LS3.1-BL</t>
  </si>
  <si>
    <t>GTIC(谷泰微)</t>
  </si>
  <si>
    <t>C22356905</t>
  </si>
  <si>
    <t>TYPEC-304YSSW-ACP16</t>
  </si>
  <si>
    <t>USB</t>
  </si>
  <si>
    <t>USB-SMD_TYPEC-304YSSW-ACP16</t>
  </si>
  <si>
    <t>XUNPU(讯普)</t>
  </si>
  <si>
    <t>C2840392</t>
  </si>
  <si>
    <t>Project Title</t>
  </si>
  <si>
    <t>Borard Title</t>
  </si>
  <si>
    <t>Little_Squeaky_Machine_Main</t>
  </si>
  <si>
    <t>Schematic Title</t>
  </si>
  <si>
    <t>Little Squeaky Machine</t>
  </si>
  <si>
    <t>PCB Title</t>
  </si>
  <si>
    <t>Variant Name</t>
  </si>
  <si>
    <t>Total Quantity</t>
  </si>
  <si>
    <t>Report Time</t>
  </si>
  <si>
    <t>22:30:16</t>
  </si>
  <si>
    <t>Report Date</t>
  </si>
  <si>
    <t>2026年9月15日</t>
  </si>
  <si>
    <t>Report Date&amp;Time</t>
  </si>
  <si>
    <t>File Name</t>
  </si>
  <si>
    <t>Filter Option</t>
  </si>
  <si>
    <t xml:space="preserve">Add into BOM:no;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</si>
</sst>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¥#,##0.00;¥-#,##0.00"/>
  </numFmts>
  <fonts count="3" x14ac:knownFonts="1">
    <font>
      <color theme="1"/>
      <family val="2"/>
      <scheme val="minor"/>
      <sz val="11"/>
      <name val="Calibri"/>
    </font>
    <font>
      <charset val="134"/>
      <color theme="1"/>
      <sz val="11"/>
      <name val="等线"/>
    </font>
    <font>
      <b/>
      <charset val="134"/>
      <color theme="1"/>
      <sz val="11"/>
      <name val="等线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8" tint="0.799981688894314"/>
        <bgColor indexed="64"/>
      </patternFill>
    </fill>
  </fills>
  <borders count="4">
    <border>
      <left/>
      <right/>
      <top/>
      <bottom/>
      <diagonal/>
    </border>
    <border>
      <left/>
      <right style="thin"/>
      <top/>
      <bottom/>
      <diagonal/>
    </border>
    <border>
      <left/>
      <right style="thin"/>
      <top/>
      <bottom style="thin"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1" xfId="0" applyFont="1" applyBorder="1"/>
    <xf numFmtId="0" fontId="2" fillId="0" borderId="0" xfId="0" applyFont="1"/>
    <xf numFmtId="0" fontId="1" fillId="0" borderId="2" xfId="0" applyFont="1" applyBorder="1"/>
    <xf numFmtId="0" fontId="1" fillId="0" borderId="3" xfId="0" applyFont="1" applyBorder="1"/>
    <xf numFmtId="0" fontId="1" fillId="2" borderId="3" xfId="0" applyFont="1" applyFill="1" applyBorder="1"/>
    <xf numFmtId="0" fontId="1" fillId="0" borderId="3" xfId="0" applyFont="1" applyBorder="1" applyAlignment="1">
      <alignment horizontal="left" vertical="center"/>
    </xf>
    <xf numFmtId="0" fontId="1" fillId="3" borderId="3" xfId="0" applyFont="1" applyFill="1" applyBorder="1"/>
    <xf numFmtId="164" fontId="1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197826</xdr:colOff>
      <xdr:row>0</xdr:row>
      <xdr:rowOff>139213</xdr:rowOff>
    </xdr:from>
    <xdr:to>
      <xdr:col>3</xdr:col>
      <xdr:colOff>1128346</xdr:colOff>
      <xdr:row>4</xdr:row>
      <xdr:rowOff>105091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workbookViewId="0" showGridLines="0" zoomScale="115" zoomScaleNormal="115">
      <selection activeCell="E17" sqref="E17"/>
    </sheetView>
  </sheetViews>
  <sheetFormatPr defaultRowHeight="14.25" outlineLevelRow="0" outlineLevelCol="0" x14ac:dyDescent="0" defaultColWidth="9" customHeight="1"/>
  <cols>
    <col min="1" max="1" width="16.25" customWidth="1"/>
    <col min="2" max="2" width="17.125" customWidth="1"/>
    <col min="3" max="3" width="18" customWidth="1"/>
    <col min="4" max="4" width="15.25" customWidth="1"/>
    <col min="5" max="5" width="13.125" customWidth="1"/>
    <col min="6" max="6" width="13.25" customWidth="1"/>
    <col min="7" max="7" width="14.375" customWidth="1"/>
    <col min="8" max="8" width="16.875" customWidth="1"/>
    <col min="9" max="9" width="13.375" customWidth="1"/>
    <col min="10" max="10" width="14.375" customWidth="1"/>
    <col min="11" max="11" width="10.25" customWidth="1"/>
  </cols>
  <sheetData>
    <row r="1" spans="1:12" x14ac:dyDescent="0.25">
      <c r="A1" s="1" t="s">
        <v>0</v>
      </c>
      <c r="B1" s="1"/>
      <c r="C1" s="1"/>
      <c r="D1" s="1"/>
      <c r="E1" s="2" t="s">
        <v>1</v>
      </c>
      <c r="F1" s="2" t="s">
        <v>2</v>
      </c>
      <c r="G1" t="s">
        <v>0</v>
      </c>
      <c r="H1" t="s">
        <v>0</v>
      </c>
      <c r="I1" t="s">
        <v>0</v>
      </c>
      <c r="J1" t="s">
        <v>0</v>
      </c>
      <c r="K1" t="s">
        <v>0</v>
      </c>
      <c r="L1" s="3" t="s">
        <v>0</v>
      </c>
    </row>
    <row r="2" spans="1:12" x14ac:dyDescent="0.25">
      <c r="A2" s="1"/>
      <c r="B2" s="1"/>
      <c r="C2" s="1"/>
      <c r="D2" s="1"/>
      <c r="E2" s="2"/>
      <c r="F2" s="2"/>
      <c r="G2" t="s">
        <v>0</v>
      </c>
      <c r="H2" t="s">
        <v>0</v>
      </c>
      <c r="I2" t="s">
        <v>0</v>
      </c>
      <c r="J2" t="s">
        <v>0</v>
      </c>
      <c r="K2" t="s">
        <v>0</v>
      </c>
      <c r="L2" s="3" t="s">
        <v>0</v>
      </c>
    </row>
    <row r="3" spans="1:12" x14ac:dyDescent="0.25">
      <c r="A3" s="1"/>
      <c r="B3" s="1"/>
      <c r="C3" s="1"/>
      <c r="D3" s="1"/>
      <c r="E3" s="4" t="s">
        <v>3</v>
      </c>
      <c r="F3" t="s">
        <v>4</v>
      </c>
      <c r="G3" t="s">
        <v>0</v>
      </c>
      <c r="H3" t="s">
        <v>0</v>
      </c>
      <c r="I3" t="s">
        <v>0</v>
      </c>
      <c r="J3" t="s">
        <v>0</v>
      </c>
      <c r="K3" t="s">
        <v>0</v>
      </c>
      <c r="L3" s="3" t="s">
        <v>0</v>
      </c>
    </row>
    <row r="4" spans="1:12" x14ac:dyDescent="0.25">
      <c r="A4" s="1"/>
      <c r="B4" s="1"/>
      <c r="C4" s="1"/>
      <c r="D4" s="1"/>
      <c r="E4" s="4" t="s">
        <v>5</v>
      </c>
      <c r="F4" t="s">
        <v>6</v>
      </c>
      <c r="G4" t="s">
        <v>0</v>
      </c>
      <c r="H4" t="s">
        <v>0</v>
      </c>
      <c r="I4" t="s">
        <v>0</v>
      </c>
      <c r="J4" t="s">
        <v>0</v>
      </c>
      <c r="K4" t="s">
        <v>0</v>
      </c>
      <c r="L4" s="3" t="s">
        <v>0</v>
      </c>
    </row>
    <row r="5" spans="1:12" x14ac:dyDescent="0.25">
      <c r="A5" s="1"/>
      <c r="B5" s="1"/>
      <c r="C5" s="1"/>
      <c r="D5" s="1"/>
      <c r="E5" s="4" t="s">
        <v>7</v>
      </c>
      <c r="F5" t="s">
        <v>8</v>
      </c>
      <c r="G5" t="s">
        <v>0</v>
      </c>
      <c r="H5" t="s">
        <v>0</v>
      </c>
      <c r="I5" t="s">
        <v>0</v>
      </c>
      <c r="J5" t="s">
        <v>0</v>
      </c>
      <c r="K5" t="s">
        <v>0</v>
      </c>
      <c r="L5" s="5" t="s">
        <v>0</v>
      </c>
    </row>
    <row r="6" spans="1:12" x14ac:dyDescent="0.25">
      <c r="A6" s="6" t="s">
        <v>9</v>
      </c>
      <c r="B6" s="7" t="s">
        <v>10</v>
      </c>
      <c r="C6" s="7" t="s">
        <v>11</v>
      </c>
      <c r="D6" s="7" t="s">
        <v>12</v>
      </c>
      <c r="E6" s="7" t="s">
        <v>13</v>
      </c>
      <c r="F6" s="7" t="s">
        <v>14</v>
      </c>
      <c r="G6" s="7" t="s">
        <v>15</v>
      </c>
      <c r="H6" s="7" t="s">
        <v>16</v>
      </c>
      <c r="I6" s="7" t="s">
        <v>17</v>
      </c>
      <c r="J6" s="7" t="s">
        <v>18</v>
      </c>
      <c r="K6" s="7" t="s">
        <v>19</v>
      </c>
      <c r="L6" s="7" t="s">
        <v>20</v>
      </c>
    </row>
    <row r="7" spans="1:11" x14ac:dyDescent="0.25">
      <c r="A7" s="8">
        <f>ROW()-6</f>
      </c>
      <c r="B7" s="9">
        <v>1</v>
      </c>
      <c r="C7" s="9" t="s">
        <v>21</v>
      </c>
      <c r="D7" s="9" t="s">
        <v>22</v>
      </c>
      <c r="E7" s="9" t="s">
        <v>23</v>
      </c>
      <c r="F7" s="9" t="s">
        <v>21</v>
      </c>
      <c r="G7" s="9" t="s">
        <v>24</v>
      </c>
      <c r="H7" s="9" t="s">
        <v>25</v>
      </c>
      <c r="I7" s="9" t="s">
        <v>26</v>
      </c>
      <c r="J7" s="9" t="s">
        <v>27</v>
      </c>
      <c r="K7" s="9" t="s">
        <v>0</v>
      </c>
    </row>
    <row r="8" spans="1:11" x14ac:dyDescent="0.25">
      <c r="A8" s="8">
        <f>ROW()-6</f>
      </c>
      <c r="B8" s="9">
        <v>43</v>
      </c>
      <c r="C8" s="9" t="s">
        <v>28</v>
      </c>
      <c r="D8" s="9" t="s">
        <v>29</v>
      </c>
      <c r="E8" s="9" t="s">
        <v>30</v>
      </c>
      <c r="F8" s="9" t="s">
        <v>28</v>
      </c>
      <c r="G8" s="9" t="s">
        <v>31</v>
      </c>
      <c r="H8" s="9" t="s">
        <v>32</v>
      </c>
      <c r="I8" s="9" t="s">
        <v>33</v>
      </c>
      <c r="J8" s="9" t="s">
        <v>27</v>
      </c>
      <c r="K8" s="9" t="s">
        <v>0</v>
      </c>
    </row>
    <row r="9" spans="1:11" x14ac:dyDescent="0.25">
      <c r="A9" s="8">
        <f>ROW()-6</f>
      </c>
      <c r="B9" s="9">
        <v>5</v>
      </c>
      <c r="C9" s="9" t="s">
        <v>34</v>
      </c>
      <c r="D9" s="9" t="s">
        <v>35</v>
      </c>
      <c r="E9" s="9" t="s">
        <v>36</v>
      </c>
      <c r="F9" s="9" t="s">
        <v>34</v>
      </c>
      <c r="G9" s="9" t="s">
        <v>37</v>
      </c>
      <c r="H9" s="9" t="s">
        <v>38</v>
      </c>
      <c r="I9" s="9" t="s">
        <v>39</v>
      </c>
      <c r="J9" s="9" t="s">
        <v>27</v>
      </c>
      <c r="K9" s="9" t="s">
        <v>0</v>
      </c>
    </row>
    <row r="10" spans="1:11" x14ac:dyDescent="0.25">
      <c r="A10" s="8">
        <f>ROW()-6</f>
      </c>
      <c r="B10" s="9">
        <v>3</v>
      </c>
      <c r="C10" s="9" t="s">
        <v>21</v>
      </c>
      <c r="D10" s="9" t="s">
        <v>40</v>
      </c>
      <c r="E10" s="9" t="s">
        <v>41</v>
      </c>
      <c r="F10" s="9" t="s">
        <v>21</v>
      </c>
      <c r="G10" s="9" t="s">
        <v>42</v>
      </c>
      <c r="H10" s="9" t="s">
        <v>43</v>
      </c>
      <c r="I10" s="9" t="s">
        <v>44</v>
      </c>
      <c r="J10" s="9" t="s">
        <v>27</v>
      </c>
      <c r="K10" s="9" t="s">
        <v>0</v>
      </c>
    </row>
    <row r="11" spans="1:11" x14ac:dyDescent="0.25">
      <c r="A11" s="8">
        <f>ROW()-6</f>
      </c>
      <c r="B11" s="9">
        <v>2</v>
      </c>
      <c r="C11" s="9" t="s">
        <v>45</v>
      </c>
      <c r="D11" s="9" t="s">
        <v>46</v>
      </c>
      <c r="E11" s="9" t="s">
        <v>41</v>
      </c>
      <c r="F11" s="9" t="s">
        <v>45</v>
      </c>
      <c r="G11" s="9" t="s">
        <v>47</v>
      </c>
      <c r="H11" s="9" t="s">
        <v>48</v>
      </c>
      <c r="I11" s="9" t="s">
        <v>49</v>
      </c>
      <c r="J11" s="9" t="s">
        <v>27</v>
      </c>
      <c r="K11" s="9" t="s">
        <v>0</v>
      </c>
    </row>
    <row r="12" spans="1:11" x14ac:dyDescent="0.25">
      <c r="A12" s="8">
        <f>ROW()-6</f>
      </c>
      <c r="B12" s="9">
        <v>7</v>
      </c>
      <c r="C12" s="9" t="s">
        <v>50</v>
      </c>
      <c r="D12" s="9" t="s">
        <v>51</v>
      </c>
      <c r="E12" s="9" t="s">
        <v>30</v>
      </c>
      <c r="F12" s="9" t="s">
        <v>50</v>
      </c>
      <c r="G12" s="9" t="s">
        <v>52</v>
      </c>
      <c r="H12" s="9" t="s">
        <v>25</v>
      </c>
      <c r="I12" s="9" t="s">
        <v>53</v>
      </c>
      <c r="J12" s="9" t="s">
        <v>27</v>
      </c>
      <c r="K12" s="9" t="s">
        <v>0</v>
      </c>
    </row>
    <row r="13" spans="1:11" x14ac:dyDescent="0.25">
      <c r="A13" s="8">
        <f>ROW()-6</f>
      </c>
      <c r="B13" s="9">
        <v>1</v>
      </c>
      <c r="C13" s="9" t="s">
        <v>54</v>
      </c>
      <c r="D13" s="9" t="s">
        <v>55</v>
      </c>
      <c r="E13" s="9" t="s">
        <v>30</v>
      </c>
      <c r="F13" s="9" t="s">
        <v>54</v>
      </c>
      <c r="G13" s="9" t="s">
        <v>56</v>
      </c>
      <c r="H13" s="9" t="s">
        <v>57</v>
      </c>
      <c r="I13" s="9" t="s">
        <v>58</v>
      </c>
      <c r="J13" s="9" t="s">
        <v>27</v>
      </c>
      <c r="K13" s="9" t="s">
        <v>0</v>
      </c>
    </row>
    <row r="14" spans="1:11" x14ac:dyDescent="0.25">
      <c r="A14" s="8">
        <f>ROW()-6</f>
      </c>
      <c r="B14" s="9">
        <v>1</v>
      </c>
      <c r="C14" s="9" t="s">
        <v>59</v>
      </c>
      <c r="D14" s="9" t="s">
        <v>60</v>
      </c>
      <c r="E14" s="9" t="s">
        <v>61</v>
      </c>
      <c r="F14" s="9" t="s">
        <v>59</v>
      </c>
      <c r="G14" s="9" t="s">
        <v>62</v>
      </c>
      <c r="H14" s="9" t="s">
        <v>32</v>
      </c>
      <c r="I14" s="9" t="s">
        <v>63</v>
      </c>
      <c r="J14" s="9" t="s">
        <v>27</v>
      </c>
      <c r="K14" s="9" t="s">
        <v>0</v>
      </c>
    </row>
    <row r="15" spans="1:11" x14ac:dyDescent="0.25">
      <c r="A15" s="8">
        <f>ROW()-6</f>
      </c>
      <c r="B15" s="9">
        <v>1</v>
      </c>
      <c r="C15" s="9" t="s">
        <v>64</v>
      </c>
      <c r="D15" s="9" t="s">
        <v>65</v>
      </c>
      <c r="E15" s="9" t="s">
        <v>23</v>
      </c>
      <c r="F15" s="9" t="s">
        <v>64</v>
      </c>
      <c r="G15" s="9" t="s">
        <v>66</v>
      </c>
      <c r="H15" s="9" t="s">
        <v>25</v>
      </c>
      <c r="I15" s="9" t="s">
        <v>67</v>
      </c>
      <c r="J15" s="9" t="s">
        <v>27</v>
      </c>
      <c r="K15" s="9" t="s">
        <v>0</v>
      </c>
    </row>
    <row r="16" spans="1:11" x14ac:dyDescent="0.25">
      <c r="A16" s="8">
        <f>ROW()-6</f>
      </c>
      <c r="B16" s="9">
        <v>1</v>
      </c>
      <c r="C16" s="9" t="s">
        <v>68</v>
      </c>
      <c r="D16" s="9" t="s">
        <v>69</v>
      </c>
      <c r="E16" s="9" t="s">
        <v>70</v>
      </c>
      <c r="F16" s="9" t="s">
        <v>0</v>
      </c>
      <c r="G16" s="9" t="s">
        <v>68</v>
      </c>
      <c r="H16" s="9" t="s">
        <v>71</v>
      </c>
      <c r="I16" s="9" t="s">
        <v>72</v>
      </c>
      <c r="J16" s="9" t="s">
        <v>27</v>
      </c>
      <c r="K16" s="9" t="s">
        <v>0</v>
      </c>
    </row>
    <row r="17" spans="1:11" x14ac:dyDescent="0.25">
      <c r="A17" s="8">
        <f>ROW()-6</f>
      </c>
      <c r="B17" s="9">
        <v>1</v>
      </c>
      <c r="C17" s="9" t="s">
        <v>73</v>
      </c>
      <c r="D17" s="9" t="s">
        <v>74</v>
      </c>
      <c r="E17" s="9" t="s">
        <v>75</v>
      </c>
      <c r="F17" s="9" t="s">
        <v>0</v>
      </c>
      <c r="G17" s="9" t="s">
        <v>73</v>
      </c>
      <c r="H17" s="9" t="s">
        <v>76</v>
      </c>
      <c r="I17" s="9" t="s">
        <v>77</v>
      </c>
      <c r="J17" s="9" t="s">
        <v>27</v>
      </c>
      <c r="K17" s="9" t="s">
        <v>0</v>
      </c>
    </row>
    <row r="18" spans="1:11" x14ac:dyDescent="0.25">
      <c r="A18" s="8">
        <f>ROW()-6</f>
      </c>
      <c r="B18" s="9">
        <v>1</v>
      </c>
      <c r="C18" s="9" t="s">
        <v>78</v>
      </c>
      <c r="D18" s="9" t="s">
        <v>79</v>
      </c>
      <c r="E18" s="9" t="s">
        <v>80</v>
      </c>
      <c r="F18" s="9" t="s">
        <v>0</v>
      </c>
      <c r="G18" s="9" t="s">
        <v>78</v>
      </c>
      <c r="H18" s="9" t="s">
        <v>81</v>
      </c>
      <c r="I18" s="9" t="s">
        <v>82</v>
      </c>
      <c r="J18" s="9" t="s">
        <v>27</v>
      </c>
      <c r="K18" s="9" t="s">
        <v>0</v>
      </c>
    </row>
    <row r="19" spans="1:11" x14ac:dyDescent="0.25">
      <c r="A19" s="8">
        <f>ROW()-6</f>
      </c>
      <c r="B19" s="9">
        <v>1</v>
      </c>
      <c r="C19" s="9" t="s">
        <v>83</v>
      </c>
      <c r="D19" s="9" t="s">
        <v>84</v>
      </c>
      <c r="E19" s="9" t="s">
        <v>85</v>
      </c>
      <c r="F19" s="9" t="s">
        <v>0</v>
      </c>
      <c r="G19" s="9" t="s">
        <v>83</v>
      </c>
      <c r="H19" s="9" t="s">
        <v>86</v>
      </c>
      <c r="I19" s="9" t="s">
        <v>87</v>
      </c>
      <c r="J19" s="9" t="s">
        <v>27</v>
      </c>
      <c r="K19" s="9" t="s">
        <v>0</v>
      </c>
    </row>
    <row r="20" spans="1:11" x14ac:dyDescent="0.25">
      <c r="A20" s="8">
        <f>ROW()-6</f>
      </c>
      <c r="B20" s="9">
        <v>4</v>
      </c>
      <c r="C20" s="9" t="s">
        <v>88</v>
      </c>
      <c r="D20" s="9" t="s">
        <v>89</v>
      </c>
      <c r="E20" s="9" t="s">
        <v>90</v>
      </c>
      <c r="F20" s="9" t="s">
        <v>0</v>
      </c>
      <c r="G20" s="9" t="s">
        <v>88</v>
      </c>
      <c r="H20" s="9" t="s">
        <v>91</v>
      </c>
      <c r="I20" s="9" t="s">
        <v>92</v>
      </c>
      <c r="J20" s="9" t="s">
        <v>27</v>
      </c>
      <c r="K20" s="9" t="s">
        <v>0</v>
      </c>
    </row>
    <row r="21" spans="1:11" x14ac:dyDescent="0.25">
      <c r="A21" s="8">
        <f>ROW()-6</f>
      </c>
      <c r="B21" s="9">
        <v>1</v>
      </c>
      <c r="C21" s="9" t="s">
        <v>93</v>
      </c>
      <c r="D21" s="9" t="s">
        <v>94</v>
      </c>
      <c r="E21" s="9" t="s">
        <v>95</v>
      </c>
      <c r="F21" s="9" t="s">
        <v>0</v>
      </c>
      <c r="G21" s="9" t="s">
        <v>93</v>
      </c>
      <c r="H21" s="9" t="s">
        <v>96</v>
      </c>
      <c r="I21" s="9" t="s">
        <v>97</v>
      </c>
      <c r="J21" s="9" t="s">
        <v>27</v>
      </c>
      <c r="K21" s="9" t="s">
        <v>0</v>
      </c>
    </row>
    <row r="22" spans="1:11" x14ac:dyDescent="0.25">
      <c r="A22" s="8">
        <f>ROW()-6</f>
      </c>
      <c r="B22" s="9">
        <v>1</v>
      </c>
      <c r="C22" s="9" t="s">
        <v>98</v>
      </c>
      <c r="D22" s="9" t="s">
        <v>99</v>
      </c>
      <c r="E22" s="9" t="s">
        <v>100</v>
      </c>
      <c r="F22" s="9" t="s">
        <v>0</v>
      </c>
      <c r="G22" s="9" t="s">
        <v>98</v>
      </c>
      <c r="H22" s="9" t="s">
        <v>101</v>
      </c>
      <c r="I22" s="9" t="s">
        <v>102</v>
      </c>
      <c r="J22" s="9" t="s">
        <v>27</v>
      </c>
      <c r="K22" s="9" t="s">
        <v>0</v>
      </c>
    </row>
    <row r="23" spans="1:11" x14ac:dyDescent="0.25">
      <c r="A23" s="8">
        <f>ROW()-6</f>
      </c>
      <c r="B23" s="9">
        <v>1</v>
      </c>
      <c r="C23" s="9" t="s">
        <v>103</v>
      </c>
      <c r="D23" s="9" t="s">
        <v>104</v>
      </c>
      <c r="E23" s="9" t="s">
        <v>105</v>
      </c>
      <c r="F23" s="9" t="s">
        <v>0</v>
      </c>
      <c r="G23" s="9" t="s">
        <v>103</v>
      </c>
      <c r="H23" s="9" t="s">
        <v>106</v>
      </c>
      <c r="I23" s="9" t="s">
        <v>107</v>
      </c>
      <c r="J23" s="9" t="s">
        <v>27</v>
      </c>
      <c r="K23" s="9" t="s">
        <v>0</v>
      </c>
    </row>
    <row r="24" spans="1:11" x14ac:dyDescent="0.25">
      <c r="A24" s="8">
        <f>ROW()-6</f>
      </c>
      <c r="B24" s="9">
        <v>1</v>
      </c>
      <c r="C24" s="9" t="s">
        <v>108</v>
      </c>
      <c r="D24" s="9" t="s">
        <v>109</v>
      </c>
      <c r="E24" s="9" t="s">
        <v>110</v>
      </c>
      <c r="F24" s="9" t="s">
        <v>0</v>
      </c>
      <c r="G24" s="9" t="s">
        <v>108</v>
      </c>
      <c r="H24" s="9" t="s">
        <v>86</v>
      </c>
      <c r="I24" s="9" t="s">
        <v>111</v>
      </c>
      <c r="J24" s="9" t="s">
        <v>27</v>
      </c>
      <c r="K24" s="9" t="s">
        <v>0</v>
      </c>
    </row>
    <row r="25" spans="1:11" x14ac:dyDescent="0.25">
      <c r="A25" s="8">
        <f>ROW()-6</f>
      </c>
      <c r="B25" s="9">
        <v>25</v>
      </c>
      <c r="C25" s="9" t="s">
        <v>112</v>
      </c>
      <c r="D25" s="9" t="s">
        <v>113</v>
      </c>
      <c r="E25" s="9" t="s">
        <v>114</v>
      </c>
      <c r="F25" s="9" t="s">
        <v>0</v>
      </c>
      <c r="G25" s="9" t="s">
        <v>112</v>
      </c>
      <c r="H25" s="9" t="s">
        <v>115</v>
      </c>
      <c r="I25" s="9" t="s">
        <v>116</v>
      </c>
      <c r="J25" s="9" t="s">
        <v>27</v>
      </c>
      <c r="K25" s="9" t="s">
        <v>0</v>
      </c>
    </row>
    <row r="26" spans="1:11" x14ac:dyDescent="0.25">
      <c r="A26" s="8">
        <f>ROW()-6</f>
      </c>
      <c r="B26" s="9">
        <v>24</v>
      </c>
      <c r="C26" s="9" t="s">
        <v>117</v>
      </c>
      <c r="D26" s="9" t="s">
        <v>118</v>
      </c>
      <c r="E26" s="9" t="s">
        <v>119</v>
      </c>
      <c r="F26" s="9" t="s">
        <v>0</v>
      </c>
      <c r="G26" s="9" t="s">
        <v>117</v>
      </c>
      <c r="H26" s="9" t="s">
        <v>120</v>
      </c>
      <c r="I26" s="9" t="s">
        <v>121</v>
      </c>
      <c r="J26" s="9" t="s">
        <v>27</v>
      </c>
      <c r="K26" s="9" t="s">
        <v>0</v>
      </c>
    </row>
    <row r="27" spans="1:11" x14ac:dyDescent="0.25">
      <c r="A27" s="8">
        <f>ROW()-6</f>
      </c>
      <c r="B27" s="9">
        <v>1</v>
      </c>
      <c r="C27" s="9" t="s">
        <v>122</v>
      </c>
      <c r="D27" s="9" t="s">
        <v>123</v>
      </c>
      <c r="E27" s="9" t="s">
        <v>124</v>
      </c>
      <c r="F27" s="9" t="s">
        <v>0</v>
      </c>
      <c r="G27" s="9" t="s">
        <v>122</v>
      </c>
      <c r="H27" s="9" t="s">
        <v>125</v>
      </c>
      <c r="I27" s="9" t="s">
        <v>126</v>
      </c>
      <c r="J27" s="9" t="s">
        <v>27</v>
      </c>
      <c r="K27" s="9" t="s">
        <v>0</v>
      </c>
    </row>
    <row r="28" spans="1:11" x14ac:dyDescent="0.25">
      <c r="A28" s="8">
        <f>ROW()-6</f>
      </c>
      <c r="B28" s="9">
        <v>1</v>
      </c>
      <c r="C28" s="9" t="s">
        <v>127</v>
      </c>
      <c r="D28" s="9" t="s">
        <v>128</v>
      </c>
      <c r="E28" s="9" t="s">
        <v>129</v>
      </c>
      <c r="F28" s="9" t="s">
        <v>0</v>
      </c>
      <c r="G28" s="9" t="s">
        <v>127</v>
      </c>
      <c r="H28" s="9" t="s">
        <v>38</v>
      </c>
      <c r="I28" s="9" t="s">
        <v>130</v>
      </c>
      <c r="J28" s="9" t="s">
        <v>27</v>
      </c>
      <c r="K28" s="9" t="s">
        <v>0</v>
      </c>
    </row>
    <row r="29" spans="1:11" x14ac:dyDescent="0.25">
      <c r="A29" s="8">
        <f>ROW()-6</f>
      </c>
      <c r="B29" s="9">
        <v>1</v>
      </c>
      <c r="C29" s="9" t="s">
        <v>131</v>
      </c>
      <c r="D29" s="9" t="s">
        <v>132</v>
      </c>
      <c r="E29" s="9" t="s">
        <v>133</v>
      </c>
      <c r="F29" s="9" t="s">
        <v>0</v>
      </c>
      <c r="G29" s="9" t="s">
        <v>131</v>
      </c>
      <c r="H29" s="9" t="s">
        <v>134</v>
      </c>
      <c r="I29" s="9" t="s">
        <v>135</v>
      </c>
      <c r="J29" s="9" t="s">
        <v>27</v>
      </c>
      <c r="K29" s="9" t="s">
        <v>0</v>
      </c>
    </row>
    <row r="30" spans="1:11" x14ac:dyDescent="0.25">
      <c r="A30" s="8">
        <f>ROW()-6</f>
      </c>
      <c r="B30" s="9">
        <v>31</v>
      </c>
      <c r="C30" s="9" t="s">
        <v>136</v>
      </c>
      <c r="D30" s="9" t="s">
        <v>137</v>
      </c>
      <c r="E30" s="9" t="s">
        <v>138</v>
      </c>
      <c r="F30" s="9" t="s">
        <v>0</v>
      </c>
      <c r="G30" s="9" t="s">
        <v>136</v>
      </c>
      <c r="H30" s="9" t="s">
        <v>139</v>
      </c>
      <c r="I30" s="9" t="s">
        <v>140</v>
      </c>
      <c r="J30" s="9" t="s">
        <v>27</v>
      </c>
      <c r="K30" s="9" t="s">
        <v>0</v>
      </c>
    </row>
    <row r="31" spans="1:11" x14ac:dyDescent="0.25">
      <c r="A31" s="8">
        <f>ROW()-6</f>
      </c>
      <c r="B31" s="9">
        <v>2</v>
      </c>
      <c r="C31" s="9" t="s">
        <v>141</v>
      </c>
      <c r="D31" s="9" t="s">
        <v>142</v>
      </c>
      <c r="E31" s="9" t="s">
        <v>110</v>
      </c>
      <c r="F31" s="9" t="s">
        <v>0</v>
      </c>
      <c r="G31" s="9" t="s">
        <v>141</v>
      </c>
      <c r="H31" s="9" t="s">
        <v>86</v>
      </c>
      <c r="I31" s="9" t="s">
        <v>143</v>
      </c>
      <c r="J31" s="9" t="s">
        <v>27</v>
      </c>
      <c r="K31" s="9" t="s">
        <v>0</v>
      </c>
    </row>
    <row r="32" spans="1:11" x14ac:dyDescent="0.25">
      <c r="A32" s="8">
        <f>ROW()-6</f>
      </c>
      <c r="B32" s="9">
        <v>1</v>
      </c>
      <c r="C32" s="9" t="s">
        <v>144</v>
      </c>
      <c r="D32" s="9" t="s">
        <v>145</v>
      </c>
      <c r="E32" s="9" t="s">
        <v>110</v>
      </c>
      <c r="F32" s="9" t="s">
        <v>0</v>
      </c>
      <c r="G32" s="9" t="s">
        <v>144</v>
      </c>
      <c r="H32" s="9" t="s">
        <v>86</v>
      </c>
      <c r="I32" s="9" t="s">
        <v>146</v>
      </c>
      <c r="J32" s="9" t="s">
        <v>27</v>
      </c>
      <c r="K32" s="9" t="s">
        <v>0</v>
      </c>
    </row>
    <row r="33" spans="1:11" x14ac:dyDescent="0.25">
      <c r="A33" s="8">
        <f>ROW()-6</f>
      </c>
      <c r="B33" s="9">
        <v>1</v>
      </c>
      <c r="C33" s="9" t="s">
        <v>147</v>
      </c>
      <c r="D33" s="9" t="s">
        <v>148</v>
      </c>
      <c r="E33" s="9" t="s">
        <v>149</v>
      </c>
      <c r="F33" s="9" t="s">
        <v>0</v>
      </c>
      <c r="G33" s="9" t="s">
        <v>147</v>
      </c>
      <c r="H33" s="9" t="s">
        <v>150</v>
      </c>
      <c r="I33" s="9" t="s">
        <v>151</v>
      </c>
      <c r="J33" s="9" t="s">
        <v>27</v>
      </c>
      <c r="K33" s="9" t="s">
        <v>0</v>
      </c>
    </row>
    <row r="34" spans="1:11" x14ac:dyDescent="0.25">
      <c r="A34" s="8">
        <f>ROW()-6</f>
      </c>
      <c r="B34" s="9">
        <v>1</v>
      </c>
      <c r="C34" s="9" t="s">
        <v>152</v>
      </c>
      <c r="D34" s="9" t="s">
        <v>153</v>
      </c>
      <c r="E34" s="9" t="s">
        <v>154</v>
      </c>
      <c r="F34" s="9" t="s">
        <v>0</v>
      </c>
      <c r="G34" s="9" t="s">
        <v>152</v>
      </c>
      <c r="H34" s="9" t="s">
        <v>86</v>
      </c>
      <c r="I34" s="9" t="s">
        <v>155</v>
      </c>
      <c r="J34" s="9" t="s">
        <v>27</v>
      </c>
      <c r="K34" s="9" t="s">
        <v>0</v>
      </c>
    </row>
    <row r="35" spans="1:11" x14ac:dyDescent="0.25">
      <c r="A35" s="8">
        <f>ROW()-6</f>
      </c>
      <c r="B35" s="9">
        <v>2</v>
      </c>
      <c r="C35" s="9" t="s">
        <v>156</v>
      </c>
      <c r="D35" s="9" t="s">
        <v>157</v>
      </c>
      <c r="E35" s="9" t="s">
        <v>110</v>
      </c>
      <c r="F35" s="9" t="s">
        <v>0</v>
      </c>
      <c r="G35" s="9" t="s">
        <v>156</v>
      </c>
      <c r="H35" s="9" t="s">
        <v>86</v>
      </c>
      <c r="I35" s="9" t="s">
        <v>158</v>
      </c>
      <c r="J35" s="9" t="s">
        <v>27</v>
      </c>
      <c r="K35" s="9" t="s">
        <v>0</v>
      </c>
    </row>
    <row r="36" spans="1:11" x14ac:dyDescent="0.25">
      <c r="A36" s="8">
        <f>ROW()-6</f>
      </c>
      <c r="B36" s="9">
        <v>1</v>
      </c>
      <c r="C36" s="9" t="s">
        <v>159</v>
      </c>
      <c r="D36" s="9" t="s">
        <v>160</v>
      </c>
      <c r="E36" s="9" t="s">
        <v>161</v>
      </c>
      <c r="F36" s="9" t="s">
        <v>0</v>
      </c>
      <c r="G36" s="9" t="s">
        <v>159</v>
      </c>
      <c r="H36" s="9" t="s">
        <v>162</v>
      </c>
      <c r="I36" s="9" t="s">
        <v>163</v>
      </c>
      <c r="J36" s="9" t="s">
        <v>27</v>
      </c>
      <c r="K36" s="9" t="s">
        <v>0</v>
      </c>
    </row>
    <row r="37" spans="1:11" x14ac:dyDescent="0.25">
      <c r="A37" s="8">
        <f>ROW()-6</f>
      </c>
      <c r="B37" s="9">
        <v>1</v>
      </c>
      <c r="C37" s="9" t="s">
        <v>164</v>
      </c>
      <c r="D37" s="9" t="s">
        <v>165</v>
      </c>
      <c r="E37" s="9" t="s">
        <v>166</v>
      </c>
      <c r="F37" s="9" t="s">
        <v>0</v>
      </c>
      <c r="G37" s="9" t="s">
        <v>164</v>
      </c>
      <c r="H37" s="9" t="s">
        <v>167</v>
      </c>
      <c r="I37" s="9" t="s">
        <v>168</v>
      </c>
      <c r="J37" s="9" t="s">
        <v>27</v>
      </c>
      <c r="K37" s="9" t="s">
        <v>0</v>
      </c>
    </row>
    <row r="38" spans="1:11" x14ac:dyDescent="0.25">
      <c r="A38" s="8">
        <f>ROW()-6</f>
      </c>
      <c r="B38" s="9">
        <v>1</v>
      </c>
      <c r="C38" s="9" t="s">
        <v>169</v>
      </c>
      <c r="D38" s="9" t="s">
        <v>170</v>
      </c>
      <c r="E38" s="9" t="s">
        <v>171</v>
      </c>
      <c r="F38" s="9" t="s">
        <v>0</v>
      </c>
      <c r="G38" s="9" t="s">
        <v>169</v>
      </c>
      <c r="H38" s="9" t="s">
        <v>172</v>
      </c>
      <c r="I38" s="9" t="s">
        <v>173</v>
      </c>
      <c r="J38" s="9" t="s">
        <v>27</v>
      </c>
      <c r="K38" s="9" t="s">
        <v>0</v>
      </c>
    </row>
    <row r="39" spans="1:11" x14ac:dyDescent="0.25">
      <c r="A39" s="8">
        <f>ROW()-6</f>
      </c>
      <c r="B39" s="9">
        <v>2</v>
      </c>
      <c r="C39" s="9" t="s">
        <v>174</v>
      </c>
      <c r="D39" s="9" t="s">
        <v>175</v>
      </c>
      <c r="E39" s="9" t="s">
        <v>176</v>
      </c>
      <c r="F39" s="9" t="s">
        <v>174</v>
      </c>
      <c r="G39" s="9" t="s">
        <v>177</v>
      </c>
      <c r="H39" s="9" t="s">
        <v>178</v>
      </c>
      <c r="I39" s="9" t="s">
        <v>179</v>
      </c>
      <c r="J39" s="9" t="s">
        <v>27</v>
      </c>
      <c r="K39" s="9" t="s">
        <v>0</v>
      </c>
    </row>
    <row r="40" spans="1:11" x14ac:dyDescent="0.25">
      <c r="A40" s="8">
        <f>ROW()-6</f>
      </c>
      <c r="B40" s="9">
        <v>1</v>
      </c>
      <c r="C40" s="9" t="s">
        <v>180</v>
      </c>
      <c r="D40" s="9" t="s">
        <v>181</v>
      </c>
      <c r="E40" s="9" t="s">
        <v>182</v>
      </c>
      <c r="F40" s="9" t="s">
        <v>180</v>
      </c>
      <c r="G40" s="9" t="s">
        <v>183</v>
      </c>
      <c r="H40" s="9" t="s">
        <v>184</v>
      </c>
      <c r="I40" s="9" t="s">
        <v>185</v>
      </c>
      <c r="J40" s="9" t="s">
        <v>27</v>
      </c>
      <c r="K40" s="9" t="s">
        <v>0</v>
      </c>
    </row>
    <row r="41" spans="1:11" x14ac:dyDescent="0.25">
      <c r="A41" s="8">
        <f>ROW()-6</f>
      </c>
      <c r="B41" s="9">
        <v>1</v>
      </c>
      <c r="C41" s="9" t="s">
        <v>186</v>
      </c>
      <c r="D41" s="9" t="s">
        <v>187</v>
      </c>
      <c r="E41" s="9" t="s">
        <v>176</v>
      </c>
      <c r="F41" s="9" t="s">
        <v>186</v>
      </c>
      <c r="G41" s="9" t="s">
        <v>188</v>
      </c>
      <c r="H41" s="9" t="s">
        <v>189</v>
      </c>
      <c r="I41" s="9" t="s">
        <v>190</v>
      </c>
      <c r="J41" s="9" t="s">
        <v>27</v>
      </c>
      <c r="K41" s="9" t="s">
        <v>0</v>
      </c>
    </row>
    <row r="42" spans="1:11" x14ac:dyDescent="0.25">
      <c r="A42" s="8">
        <f>ROW()-6</f>
      </c>
      <c r="B42" s="9">
        <v>3</v>
      </c>
      <c r="C42" s="9" t="s">
        <v>191</v>
      </c>
      <c r="D42" s="9" t="s">
        <v>192</v>
      </c>
      <c r="E42" s="9" t="s">
        <v>176</v>
      </c>
      <c r="F42" s="9" t="s">
        <v>191</v>
      </c>
      <c r="G42" s="9" t="s">
        <v>193</v>
      </c>
      <c r="H42" s="9" t="s">
        <v>178</v>
      </c>
      <c r="I42" s="9" t="s">
        <v>194</v>
      </c>
      <c r="J42" s="9" t="s">
        <v>27</v>
      </c>
      <c r="K42" s="9" t="s">
        <v>0</v>
      </c>
    </row>
    <row r="43" spans="1:11" x14ac:dyDescent="0.25">
      <c r="A43" s="8">
        <f>ROW()-6</f>
      </c>
      <c r="B43" s="9">
        <v>1</v>
      </c>
      <c r="C43" s="9" t="s">
        <v>195</v>
      </c>
      <c r="D43" s="9" t="s">
        <v>196</v>
      </c>
      <c r="E43" s="9" t="s">
        <v>176</v>
      </c>
      <c r="F43" s="9" t="s">
        <v>195</v>
      </c>
      <c r="G43" s="9" t="s">
        <v>197</v>
      </c>
      <c r="H43" s="9" t="s">
        <v>198</v>
      </c>
      <c r="I43" s="9" t="s">
        <v>199</v>
      </c>
      <c r="J43" s="9" t="s">
        <v>27</v>
      </c>
      <c r="K43" s="9" t="s">
        <v>0</v>
      </c>
    </row>
    <row r="44" spans="1:11" x14ac:dyDescent="0.25">
      <c r="A44" s="8">
        <f>ROW()-6</f>
      </c>
      <c r="B44" s="9">
        <v>1</v>
      </c>
      <c r="C44" s="9" t="s">
        <v>200</v>
      </c>
      <c r="D44" s="9" t="s">
        <v>201</v>
      </c>
      <c r="E44" s="9" t="s">
        <v>176</v>
      </c>
      <c r="F44" s="9" t="s">
        <v>200</v>
      </c>
      <c r="G44" s="9" t="s">
        <v>202</v>
      </c>
      <c r="H44" s="9" t="s">
        <v>184</v>
      </c>
      <c r="I44" s="9" t="s">
        <v>203</v>
      </c>
      <c r="J44" s="9" t="s">
        <v>27</v>
      </c>
      <c r="K44" s="9" t="s">
        <v>0</v>
      </c>
    </row>
    <row r="45" spans="1:11" x14ac:dyDescent="0.25">
      <c r="A45" s="8">
        <f>ROW()-6</f>
      </c>
      <c r="B45" s="9">
        <v>1</v>
      </c>
      <c r="C45" s="9" t="s">
        <v>204</v>
      </c>
      <c r="D45" s="9" t="s">
        <v>205</v>
      </c>
      <c r="E45" s="9" t="s">
        <v>176</v>
      </c>
      <c r="F45" s="9" t="s">
        <v>204</v>
      </c>
      <c r="G45" s="9" t="s">
        <v>206</v>
      </c>
      <c r="H45" s="9" t="s">
        <v>184</v>
      </c>
      <c r="I45" s="9" t="s">
        <v>207</v>
      </c>
      <c r="J45" s="9" t="s">
        <v>27</v>
      </c>
      <c r="K45" s="9" t="s">
        <v>0</v>
      </c>
    </row>
    <row r="46" spans="1:11" x14ac:dyDescent="0.25">
      <c r="A46" s="8">
        <f>ROW()-6</f>
      </c>
      <c r="B46" s="9">
        <v>1</v>
      </c>
      <c r="C46" s="9" t="s">
        <v>208</v>
      </c>
      <c r="D46" s="9" t="s">
        <v>209</v>
      </c>
      <c r="E46" s="9" t="s">
        <v>176</v>
      </c>
      <c r="F46" s="9" t="s">
        <v>208</v>
      </c>
      <c r="G46" s="9" t="s">
        <v>210</v>
      </c>
      <c r="H46" s="9" t="s">
        <v>178</v>
      </c>
      <c r="I46" s="9" t="s">
        <v>211</v>
      </c>
      <c r="J46" s="9" t="s">
        <v>27</v>
      </c>
      <c r="K46" s="9" t="s">
        <v>0</v>
      </c>
    </row>
    <row r="47" spans="1:11" x14ac:dyDescent="0.25">
      <c r="A47" s="8">
        <f>ROW()-6</f>
      </c>
      <c r="B47" s="9">
        <v>1</v>
      </c>
      <c r="C47" s="9" t="s">
        <v>212</v>
      </c>
      <c r="D47" s="9" t="s">
        <v>213</v>
      </c>
      <c r="E47" s="9" t="s">
        <v>176</v>
      </c>
      <c r="F47" s="9" t="s">
        <v>212</v>
      </c>
      <c r="G47" s="9" t="s">
        <v>214</v>
      </c>
      <c r="H47" s="9" t="s">
        <v>215</v>
      </c>
      <c r="I47" s="9" t="s">
        <v>216</v>
      </c>
      <c r="J47" s="9" t="s">
        <v>27</v>
      </c>
      <c r="K47" s="9" t="s">
        <v>0</v>
      </c>
    </row>
    <row r="48" spans="1:11" x14ac:dyDescent="0.25">
      <c r="A48" s="8">
        <f>ROW()-6</f>
      </c>
      <c r="B48" s="9">
        <v>1</v>
      </c>
      <c r="C48" s="9" t="s">
        <v>217</v>
      </c>
      <c r="D48" s="9" t="s">
        <v>218</v>
      </c>
      <c r="E48" s="9" t="s">
        <v>176</v>
      </c>
      <c r="F48" s="9" t="s">
        <v>217</v>
      </c>
      <c r="G48" s="9" t="s">
        <v>219</v>
      </c>
      <c r="H48" s="9" t="s">
        <v>178</v>
      </c>
      <c r="I48" s="9" t="s">
        <v>220</v>
      </c>
      <c r="J48" s="9" t="s">
        <v>27</v>
      </c>
      <c r="K48" s="9" t="s">
        <v>0</v>
      </c>
    </row>
    <row r="49" spans="1:11" x14ac:dyDescent="0.25">
      <c r="A49" s="8">
        <f>ROW()-6</f>
      </c>
      <c r="B49" s="9">
        <v>9</v>
      </c>
      <c r="C49" s="9" t="s">
        <v>221</v>
      </c>
      <c r="D49" s="9" t="s">
        <v>222</v>
      </c>
      <c r="E49" s="9" t="s">
        <v>176</v>
      </c>
      <c r="F49" s="9" t="s">
        <v>221</v>
      </c>
      <c r="G49" s="9" t="s">
        <v>223</v>
      </c>
      <c r="H49" s="9" t="s">
        <v>198</v>
      </c>
      <c r="I49" s="9" t="s">
        <v>224</v>
      </c>
      <c r="J49" s="9" t="s">
        <v>27</v>
      </c>
      <c r="K49" s="9" t="s">
        <v>0</v>
      </c>
    </row>
    <row r="50" spans="1:11" x14ac:dyDescent="0.25">
      <c r="A50" s="8">
        <f>ROW()-6</f>
      </c>
      <c r="B50" s="9">
        <v>1</v>
      </c>
      <c r="C50" s="9" t="s">
        <v>225</v>
      </c>
      <c r="D50" s="9" t="s">
        <v>226</v>
      </c>
      <c r="E50" s="9" t="s">
        <v>227</v>
      </c>
      <c r="F50" s="9" t="s">
        <v>0</v>
      </c>
      <c r="G50" s="9" t="s">
        <v>225</v>
      </c>
      <c r="H50" s="9" t="s">
        <v>86</v>
      </c>
      <c r="I50" s="9" t="s">
        <v>228</v>
      </c>
      <c r="J50" s="9" t="s">
        <v>27</v>
      </c>
      <c r="K50" s="9" t="s">
        <v>0</v>
      </c>
    </row>
    <row r="51" spans="1:11" x14ac:dyDescent="0.25">
      <c r="A51" s="8">
        <f>ROW()-6</f>
      </c>
      <c r="B51" s="9">
        <v>1</v>
      </c>
      <c r="C51" s="9" t="s">
        <v>229</v>
      </c>
      <c r="D51" s="9" t="s">
        <v>230</v>
      </c>
      <c r="E51" s="9" t="s">
        <v>231</v>
      </c>
      <c r="F51" s="9" t="s">
        <v>0</v>
      </c>
      <c r="G51" s="9" t="s">
        <v>229</v>
      </c>
      <c r="H51" s="9" t="s">
        <v>232</v>
      </c>
      <c r="I51" s="9" t="s">
        <v>233</v>
      </c>
      <c r="J51" s="9" t="s">
        <v>27</v>
      </c>
      <c r="K51" s="9" t="s">
        <v>0</v>
      </c>
    </row>
    <row r="52" spans="1:11" x14ac:dyDescent="0.25">
      <c r="A52" s="8">
        <f>ROW()-6</f>
      </c>
      <c r="B52" s="9">
        <v>1</v>
      </c>
      <c r="C52" s="9" t="s">
        <v>234</v>
      </c>
      <c r="D52" s="9" t="s">
        <v>235</v>
      </c>
      <c r="E52" s="9" t="s">
        <v>236</v>
      </c>
      <c r="F52" s="9" t="s">
        <v>0</v>
      </c>
      <c r="G52" s="9" t="s">
        <v>234</v>
      </c>
      <c r="H52" s="9" t="s">
        <v>134</v>
      </c>
      <c r="I52" s="9" t="s">
        <v>237</v>
      </c>
      <c r="J52" s="9" t="s">
        <v>27</v>
      </c>
      <c r="K52" s="9" t="s">
        <v>0</v>
      </c>
    </row>
    <row r="53" spans="1:11" x14ac:dyDescent="0.25">
      <c r="A53" s="8">
        <f>ROW()-6</f>
      </c>
      <c r="B53" s="9">
        <v>1</v>
      </c>
      <c r="C53" s="9" t="s">
        <v>238</v>
      </c>
      <c r="D53" s="9" t="s">
        <v>239</v>
      </c>
      <c r="E53" s="9" t="s">
        <v>240</v>
      </c>
      <c r="F53" s="9" t="s">
        <v>0</v>
      </c>
      <c r="G53" s="9" t="s">
        <v>238</v>
      </c>
      <c r="H53" s="9" t="s">
        <v>241</v>
      </c>
      <c r="I53" s="9" t="s">
        <v>242</v>
      </c>
      <c r="J53" s="9" t="s">
        <v>27</v>
      </c>
      <c r="K53" s="9" t="s">
        <v>0</v>
      </c>
    </row>
    <row r="54" spans="1:11" x14ac:dyDescent="0.25">
      <c r="A54" s="8">
        <f>ROW()-6</f>
      </c>
      <c r="B54" s="9">
        <v>1</v>
      </c>
      <c r="C54" s="9" t="s">
        <v>243</v>
      </c>
      <c r="D54" s="9" t="s">
        <v>244</v>
      </c>
      <c r="E54" s="9" t="s">
        <v>245</v>
      </c>
      <c r="F54" s="9" t="s">
        <v>0</v>
      </c>
      <c r="G54" s="9" t="s">
        <v>243</v>
      </c>
      <c r="H54" s="9" t="s">
        <v>246</v>
      </c>
      <c r="I54" s="9" t="s">
        <v>247</v>
      </c>
      <c r="J54" s="9" t="s">
        <v>27</v>
      </c>
      <c r="K54" s="9" t="s">
        <v>0</v>
      </c>
    </row>
    <row r="55" spans="1:12" x14ac:dyDescent="0.25">
      <c r="A55" s="8">
        <f>ROW()-6</f>
      </c>
      <c r="B55" s="10">
        <f>SUM(L7:L54)</f>
      </c>
      <c r="C55" s="10"/>
      <c r="D55" s="10"/>
      <c r="E55" s="10"/>
      <c r="F55" s="10"/>
      <c r="G55" s="10"/>
      <c r="H55" s="10"/>
      <c r="I55" s="10"/>
      <c r="J55" s="10"/>
      <c r="K55" s="10"/>
      <c r="L55" s="10"/>
    </row>
  </sheetData>
  <mergeCells count="4">
    <mergeCell ref="A1:D5"/>
    <mergeCell ref="E1:E2"/>
    <mergeCell ref="F1:F2"/>
    <mergeCell ref="B55:L55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zoomScale="220" zoomScaleNormal="220">
      <selection activeCell="B14" sqref="B14"/>
    </sheetView>
  </sheetViews>
  <sheetFormatPr defaultRowHeight="14.25" outlineLevelRow="0" outlineLevelCol="1" x14ac:dyDescent="0" defaultColWidth="9" customHeight="1"/>
  <cols>
    <col min="1" max="1" width="23.625" customWidth="1"/>
    <col min="2" max="2" width="57.5" customWidth="1"/>
  </cols>
  <sheetData>
    <row r="1" spans="1:2" x14ac:dyDescent="0.25">
      <c r="A1" s="6" t="s">
        <v>248</v>
      </c>
      <c r="B1" s="6" t="s">
        <v>4</v>
      </c>
    </row>
    <row r="2" spans="1:2" x14ac:dyDescent="0.25">
      <c r="A2" s="6" t="s">
        <v>249</v>
      </c>
      <c r="B2" s="6" t="s">
        <v>250</v>
      </c>
    </row>
    <row r="3" spans="1:2" x14ac:dyDescent="0.25">
      <c r="A3" s="6" t="s">
        <v>251</v>
      </c>
      <c r="B3" s="6" t="s">
        <v>252</v>
      </c>
    </row>
    <row r="4" spans="1:2" x14ac:dyDescent="0.25">
      <c r="A4" s="6" t="s">
        <v>253</v>
      </c>
      <c r="B4" s="6" t="s">
        <v>252</v>
      </c>
    </row>
    <row r="5" spans="1:2" x14ac:dyDescent="0.25">
      <c r="A5" s="6" t="s">
        <v>254</v>
      </c>
      <c r="B5" s="6" t="s">
        <v>6</v>
      </c>
    </row>
    <row r="6" spans="1:2" x14ac:dyDescent="0.25">
      <c r="A6" s="6" t="s">
        <v>255</v>
      </c>
      <c r="B6" s="6">
        <v>237</v>
      </c>
    </row>
    <row r="7" spans="1:2" x14ac:dyDescent="0.25">
      <c r="A7" s="6" t="s">
        <v>256</v>
      </c>
      <c r="B7" s="6" t="s">
        <v>257</v>
      </c>
    </row>
    <row r="8" spans="1:2" x14ac:dyDescent="0.25">
      <c r="A8" s="6" t="s">
        <v>258</v>
      </c>
      <c r="B8" s="6" t="s">
        <v>259</v>
      </c>
    </row>
    <row r="9" spans="1:2" x14ac:dyDescent="0.25">
      <c r="A9" s="6" t="s">
        <v>260</v>
      </c>
      <c r="B9" s="6" t="s">
        <v>8</v>
      </c>
    </row>
    <row r="10" spans="1:2" x14ac:dyDescent="0.25">
      <c r="A10" s="6" t="s">
        <v>261</v>
      </c>
      <c r="B10" s="6" t="s">
        <v>2</v>
      </c>
    </row>
    <row r="11" spans="1:2" x14ac:dyDescent="0.25">
      <c r="A11" s="6" t="s">
        <v>262</v>
      </c>
      <c r="B11" s="6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bom模板</vt:lpstr>
      <vt:lpstr>Field汇总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jlceda</dc:creator>
  <dc:title/>
  <dc:subject/>
  <dc:description/>
  <cp:keywords/>
  <cp:category/>
  <cp:lastModifiedBy>1722566156976</cp:lastModifiedBy>
  <dcterms:created xsi:type="dcterms:W3CDTF">2024-08-02T02:42:32Z</dcterms:created>
  <dcterms:modified xsi:type="dcterms:W3CDTF">2026-09-15T20:30:16Z</dcterms:modified>
</cp:coreProperties>
</file>